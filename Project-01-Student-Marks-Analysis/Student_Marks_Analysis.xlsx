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p\Videos\excel\project1\"/>
    </mc:Choice>
  </mc:AlternateContent>
  <xr:revisionPtr revIDLastSave="0" documentId="13_ncr:1_{B7A1C77F-4A88-4131-B398-7063A9451B77}" xr6:coauthVersionLast="47" xr6:coauthVersionMax="47" xr10:uidLastSave="{00000000-0000-0000-0000-000000000000}"/>
  <bookViews>
    <workbookView xWindow="4812" yWindow="732" windowWidth="19140" windowHeight="12096" xr2:uid="{AD9D253A-06FE-42CD-BC84-CC38115B8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1" i="1" l="1"/>
  <c r="G12" i="1"/>
  <c r="G13" i="1"/>
  <c r="G14" i="1"/>
  <c r="G10" i="1"/>
  <c r="K3" i="1"/>
  <c r="K4" i="1"/>
  <c r="K5" i="1"/>
  <c r="K6" i="1"/>
  <c r="K2" i="1"/>
  <c r="J2" i="1"/>
  <c r="J3" i="1"/>
  <c r="J4" i="1"/>
  <c r="J5" i="1"/>
  <c r="J6" i="1"/>
  <c r="I2" i="1"/>
  <c r="I3" i="1"/>
  <c r="I4" i="1"/>
  <c r="I5" i="1"/>
  <c r="I6" i="1"/>
  <c r="H3" i="1"/>
  <c r="H4" i="1"/>
  <c r="H5" i="1"/>
  <c r="H6" i="1"/>
  <c r="H2" i="1"/>
  <c r="G3" i="1"/>
  <c r="G4" i="1"/>
  <c r="G5" i="1"/>
  <c r="G6" i="1"/>
  <c r="G2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<sst xmlns="http://schemas.openxmlformats.org/spreadsheetml/2006/main" count="17" uniqueCount="17">
  <si>
    <t>Sr No.</t>
  </si>
  <si>
    <t>Name of Student</t>
  </si>
  <si>
    <t>Sub1</t>
  </si>
  <si>
    <t>Sub2</t>
  </si>
  <si>
    <t>Sub3</t>
  </si>
  <si>
    <t>Total</t>
  </si>
  <si>
    <t>A</t>
  </si>
  <si>
    <t>B</t>
  </si>
  <si>
    <t>C</t>
  </si>
  <si>
    <t>D</t>
  </si>
  <si>
    <t>E</t>
  </si>
  <si>
    <t>Max</t>
  </si>
  <si>
    <t>Min</t>
  </si>
  <si>
    <t>Average</t>
  </si>
  <si>
    <t>%Age</t>
  </si>
  <si>
    <t>Result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</si>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</sst>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D9B2-FB07-4830-9D4A-4C77A9186D03}">
  <dimension ref="A1:K14"/>
  <sheetViews>
    <sheetView tabSelected="1" topLeftCell="B1" zoomScale="175" zoomScaleNormal="175" workbookViewId="0">
      <selection activeCell="F9" sqref="F9:G14"/>
    </sheetView>
  </sheetViews>
  <sheetFormatPr defaultRowHeight="14.4" x14ac:dyDescent="0.3"/>
  <cols>
    <col min="1" max="1" width="9.88671875" customWidth="1"/>
    <col min="2" max="2" width="14.44140625" bestFit="1" customWidth="1"/>
  </cols>
  <sheetData>
    <row r="1" spans="1:11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</row>
    <row r="2" spans="1:11" x14ac:dyDescent="0.3">
      <c r="A2">
        <v>1</v>
      </c>
      <c r="B2" s="2" t="s">
        <v>6</v>
      </c>
      <c r="C2" s="3">
        <v>148</v>
      </c>
      <c r="D2" s="3">
        <v>82</v>
      </c>
      <c r="E2" s="3">
        <v>90</v>
      </c>
      <c r="F2" s="2">
        <f>SUM(C2:E2)</f>
        <v>320</v>
      </c>
      <c r="G2" s="2">
        <f>MAX(C2:E2)</f>
        <v>148</v>
      </c>
      <c r="H2" s="2">
        <f>MIN(C2:E2)</f>
        <v>82</v>
      </c>
      <c r="I2" s="4">
        <f>AVERAGE(C2:E2)</f>
        <v>106.66666666666667</v>
      </c>
      <c r="J2" s="4">
        <f>F2/350*100</f>
        <v>91.428571428571431</v>
      </c>
      <c r="K2" s="2" t="str">
        <f>IF(J2&gt;=35,"Pass","Fail")</f>
        <v>Pass</v>
      </c>
    </row>
    <row r="3" spans="1:11" x14ac:dyDescent="0.3">
      <c r="A3">
        <v>2</v>
      </c>
      <c r="B3" s="2" t="s">
        <v>7</v>
      </c>
      <c r="C3" s="3">
        <v>36</v>
      </c>
      <c r="D3" s="3">
        <v>42</v>
      </c>
      <c r="E3" s="3">
        <v>20</v>
      </c>
      <c r="F3" s="2">
        <f t="shared" ref="F3:F4" si="0">SUM(C3:E3)</f>
        <v>98</v>
      </c>
      <c r="G3" s="2">
        <f t="shared" ref="G3:G6" si="1">MAX(C3:E3)</f>
        <v>42</v>
      </c>
      <c r="H3" s="2">
        <f t="shared" ref="H3:H6" si="2">MIN(C3:E3)</f>
        <v>20</v>
      </c>
      <c r="I3" s="4">
        <f t="shared" ref="I3:I6" si="3">AVERAGE(C3:E3)</f>
        <v>32.666666666666664</v>
      </c>
      <c r="J3" s="4">
        <f t="shared" ref="J3:J6" si="4">F3/300*100</f>
        <v>32.666666666666664</v>
      </c>
      <c r="K3" s="2" t="str">
        <f t="shared" ref="K3:K6" si="5">IF(J3&gt;=35,"Pass","Fail")</f>
        <v>Fail</v>
      </c>
    </row>
    <row r="4" spans="1:11" x14ac:dyDescent="0.3">
      <c r="A4">
        <v>3</v>
      </c>
      <c r="B4" s="2" t="s">
        <v>8</v>
      </c>
      <c r="C4" s="3">
        <v>70</v>
      </c>
      <c r="D4" s="3">
        <v>32</v>
      </c>
      <c r="E4" s="3">
        <v>80</v>
      </c>
      <c r="F4" s="2">
        <f t="shared" si="0"/>
        <v>182</v>
      </c>
      <c r="G4" s="2">
        <f t="shared" si="1"/>
        <v>80</v>
      </c>
      <c r="H4" s="2">
        <f t="shared" si="2"/>
        <v>32</v>
      </c>
      <c r="I4" s="4">
        <f t="shared" si="3"/>
        <v>60.666666666666664</v>
      </c>
      <c r="J4" s="4">
        <f t="shared" si="4"/>
        <v>60.666666666666671</v>
      </c>
      <c r="K4" s="2" t="str">
        <f t="shared" si="5"/>
        <v>Pass</v>
      </c>
    </row>
    <row r="5" spans="1:11" x14ac:dyDescent="0.3">
      <c r="A5">
        <v>4</v>
      </c>
      <c r="B5" s="2" t="s">
        <v>9</v>
      </c>
      <c r="C5" s="3">
        <v>20</v>
      </c>
      <c r="D5" s="3">
        <v>55</v>
      </c>
      <c r="E5" s="3">
        <v>73</v>
      </c>
      <c r="F5" s="2">
        <f>SUM(C5:E5)</f>
        <v>148</v>
      </c>
      <c r="G5" s="2">
        <f t="shared" si="1"/>
        <v>73</v>
      </c>
      <c r="H5" s="2">
        <f t="shared" si="2"/>
        <v>20</v>
      </c>
      <c r="I5" s="4">
        <f t="shared" si="3"/>
        <v>49.333333333333336</v>
      </c>
      <c r="J5" s="4">
        <f t="shared" si="4"/>
        <v>49.333333333333336</v>
      </c>
      <c r="K5" s="2" t="str">
        <f t="shared" si="5"/>
        <v>Pass</v>
      </c>
    </row>
    <row r="6" spans="1:11" x14ac:dyDescent="0.3">
      <c r="A6">
        <v>5</v>
      </c>
      <c r="B6" s="2" t="s">
        <v>10</v>
      </c>
      <c r="C6" s="3">
        <v>28</v>
      </c>
      <c r="D6" s="3">
        <v>88</v>
      </c>
      <c r="E6" s="3">
        <v>87</v>
      </c>
      <c r="F6" s="2">
        <f>SUM(C6:E6)</f>
        <v>203</v>
      </c>
      <c r="G6" s="2">
        <f t="shared" si="1"/>
        <v>88</v>
      </c>
      <c r="H6" s="2">
        <f t="shared" si="2"/>
        <v>28</v>
      </c>
      <c r="I6" s="4">
        <f t="shared" si="3"/>
        <v>67.666666666666671</v>
      </c>
      <c r="J6" s="4">
        <f t="shared" si="4"/>
        <v>67.666666666666657</v>
      </c>
      <c r="K6" s="2" t="str">
        <f t="shared" si="5"/>
        <v>Pass</v>
      </c>
    </row>
    <row r="7" spans="1:11" x14ac:dyDescent="0.3">
      <c r="C7" s="1"/>
    </row>
    <row r="8" spans="1:11" x14ac:dyDescent="0.3">
      <c r="C8" s="1"/>
    </row>
    <row r="9" spans="1:11" x14ac:dyDescent="0.3">
      <c r="F9" s="2" t="s">
        <v>16</v>
      </c>
      <c r="G9" s="2"/>
    </row>
    <row r="10" spans="1:11" x14ac:dyDescent="0.3">
      <c r="F10" s="2">
        <v>45</v>
      </c>
      <c r="G10" s="2" t="str">
        <f>IF(F10&gt;=18,"YES","NO")</f>
        <v>YES</v>
      </c>
    </row>
    <row r="11" spans="1:11" x14ac:dyDescent="0.3">
      <c r="F11" s="2">
        <v>65</v>
      </c>
      <c r="G11" s="2" t="str">
        <f t="shared" ref="G11:G14" si="6">IF(F11&gt;=18,"YES","NO")</f>
        <v>YES</v>
      </c>
    </row>
    <row r="12" spans="1:11" x14ac:dyDescent="0.3">
      <c r="F12" s="2">
        <v>25</v>
      </c>
      <c r="G12" s="2" t="str">
        <f t="shared" si="6"/>
        <v>YES</v>
      </c>
    </row>
    <row r="13" spans="1:11" x14ac:dyDescent="0.3">
      <c r="F13" s="2">
        <v>17</v>
      </c>
      <c r="G13" s="2" t="str">
        <f t="shared" si="6"/>
        <v>NO</v>
      </c>
    </row>
    <row r="14" spans="1:11" x14ac:dyDescent="0.3">
      <c r="F14" s="2">
        <v>19</v>
      </c>
      <c r="G14" s="2" t="str">
        <f t="shared" si="6"/>
        <v>YES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Sanika Bhalekar</cp:lastModifiedBy>
  <dcterms:created xsi:type="dcterms:W3CDTF">2026-04-30T07:29:33Z</dcterms:created>
  <dcterms:modified xsi:type="dcterms:W3CDTF">2026-07-27T14:19:19Z</dcterms:modified>
</cp:coreProperties>
</file>