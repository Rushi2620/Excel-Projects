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p\Videos\excel\"/>
    </mc:Choice>
  </mc:AlternateContent>
  <xr:revisionPtr revIDLastSave="0" documentId="8_{90850071-E703-428A-ADDE-7483F3428A05}" xr6:coauthVersionLast="47" xr6:coauthVersionMax="47" xr10:uidLastSave="{00000000-0000-0000-0000-000000000000}"/>
  <bookViews>
    <workbookView xWindow="3840" yWindow="576" windowWidth="19140" windowHeight="12096" activeTab="2" xr2:uid="{7FD9995C-7416-4CA4-B61F-9916E2F7D2EA}"/>
  </bookViews>
  <sheets>
    <sheet name="IF" sheetId="1" r:id="rId1"/>
    <sheet name="nested IF" sheetId="2" r:id="rId2"/>
    <sheet name="IF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D4" i="3" a="1"/>
  <c r="D5" i="3" a="1"/>
  <c r="D6" i="3" a="1"/>
  <c r="D7" i="3" a="1"/>
  <c r="D3" i="3" a="1"/>
  <c r="C2" i="3"/>
  <c r="D2" i="3" s="1" a="1"/>
  <c r="G2" i="2"/>
  <c r="H3" i="2"/>
  <c r="H5" i="2"/>
  <c r="H6" i="2"/>
  <c r="G3" i="2"/>
  <c r="G5" i="2"/>
  <c r="G6" i="2"/>
  <c r="F3" i="2"/>
  <c r="F4" i="2"/>
  <c r="G4" i="2" s="1"/>
  <c r="F5" i="2"/>
  <c r="F6" i="2"/>
  <c r="F2" i="2"/>
  <c r="E3" i="2"/>
  <c r="E4" i="2"/>
  <c r="H4" i="2" s="1"/>
  <c r="E5" i="2"/>
  <c r="E6" i="2"/>
  <c r="E2" i="2"/>
  <c r="H2" i="2" s="1"/>
  <c r="C3" i="1"/>
  <c r="C4" i="1"/>
  <c r="C5" i="1"/>
  <c r="C6" i="1"/>
  <c r="C2" i="1"/>
  <c r="E3" i="1" l="1"/>
  <c r="F3" i="1"/>
  <c r="F5" i="1"/>
  <c r="E5" i="1"/>
  <c r="E4" i="1"/>
  <c r="F4" i="1"/>
  <c r="F6" i="1"/>
  <c r="E6" i="1"/>
  <c r="E2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<sst xmlns="http://schemas.openxmlformats.org/spreadsheetml/2006/main" count="45" uniqueCount="37">
  <si>
    <t>Sr No-.</t>
  </si>
  <si>
    <t>Emp</t>
  </si>
  <si>
    <t>Days</t>
  </si>
  <si>
    <t>Performance</t>
  </si>
  <si>
    <t>A</t>
  </si>
  <si>
    <t>B</t>
  </si>
  <si>
    <t>C</t>
  </si>
  <si>
    <t>D</t>
  </si>
  <si>
    <t>E</t>
  </si>
  <si>
    <t>Promotion(AND)</t>
  </si>
  <si>
    <t>Promotion(OR)</t>
  </si>
  <si>
    <t>.</t>
  </si>
  <si>
    <t>Name of Student</t>
  </si>
  <si>
    <t>Sub1</t>
  </si>
  <si>
    <t>Sub2</t>
  </si>
  <si>
    <t>Sub3</t>
  </si>
  <si>
    <t>Result</t>
  </si>
  <si>
    <t>Percentage</t>
  </si>
  <si>
    <t>PASS</t>
  </si>
  <si>
    <t>A++</t>
  </si>
  <si>
    <t>A+</t>
  </si>
  <si>
    <t>FINAL GRADES</t>
  </si>
  <si>
    <t>GRADE(percentage)</t>
  </si>
  <si>
    <t>Sr No.</t>
  </si>
  <si>
    <t>Customer</t>
  </si>
  <si>
    <t>Rushikesh</t>
  </si>
  <si>
    <t>rahul</t>
  </si>
  <si>
    <t>Rohit</t>
  </si>
  <si>
    <t>Rohel</t>
  </si>
  <si>
    <t>Yash</t>
  </si>
  <si>
    <t>Saurabh</t>
  </si>
  <si>
    <t>Quantity Order</t>
  </si>
  <si>
    <t>Discount%</t>
  </si>
  <si>
    <t xml:space="preserve">Condition </t>
  </si>
  <si>
    <t>&gt;=10</t>
  </si>
  <si>
    <t>&gt;=5</t>
  </si>
  <si>
    <t>&lt;5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</si>
</sst>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Fill="1" applyBorder="1"/>
    <xf numFmtId="2" fontId="0" fillId="0" borderId="1" xfId="0" applyNumberFormat="1" applyBorder="1"/>
    <xf numFmtId="0" fontId="0" fillId="0" borderId="0" xfId="0" applyFill="1" applyBorder="1" applyAlignment="1">
      <alignment horizontal="right"/>
    </xf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AE60-59BB-480B-8461-835D50B16E75}">
  <dimension ref="A1:F8"/>
  <sheetViews>
    <sheetView zoomScale="205" zoomScaleNormal="205" workbookViewId="0">
      <selection activeCell="D8" sqref="D8"/>
    </sheetView>
  </sheetViews>
  <sheetFormatPr defaultRowHeight="14.4" x14ac:dyDescent="0.3"/>
  <cols>
    <col min="1" max="1" width="6.6640625" bestFit="1" customWidth="1"/>
    <col min="2" max="2" width="4.5546875" bestFit="1" customWidth="1"/>
    <col min="3" max="3" width="8.109375" bestFit="1" customWidth="1"/>
    <col min="4" max="4" width="11.5546875" bestFit="1" customWidth="1"/>
    <col min="5" max="6" width="14.88671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</row>
    <row r="2" spans="1:6" x14ac:dyDescent="0.3">
      <c r="A2" s="1">
        <v>1</v>
      </c>
      <c r="B2" s="1" t="s">
        <v>4</v>
      </c>
      <c r="C2" s="1">
        <f ca="1">RANDBETWEEN(100,150)</f>
        <v>124</v>
      </c>
      <c r="D2" s="1">
        <v>4</v>
      </c>
      <c r="E2" s="1" t="str">
        <f ca="1">IF(AND(C2&gt;=130,D2&gt;=5),"YES","NO")</f>
        <v>NO</v>
      </c>
      <c r="F2" s="1" t="str">
        <f ca="1">IF(OR(C2&gt;=130,D2&gt;=5),"YES","NO")</f>
        <v>NO</v>
      </c>
    </row>
    <row r="3" spans="1:6" x14ac:dyDescent="0.3">
      <c r="A3" s="1">
        <v>2</v>
      </c>
      <c r="B3" s="1" t="s">
        <v>5</v>
      </c>
      <c r="C3" s="1">
        <f t="shared" ref="C3:C6" ca="1" si="0">RANDBETWEEN(100,150)</f>
        <v>120</v>
      </c>
      <c r="D3" s="1">
        <v>2</v>
      </c>
      <c r="E3" s="1" t="str">
        <f ca="1">IF(AND(C3&gt;=130,D3&gt;=5),"YES","NO")</f>
        <v>NO</v>
      </c>
      <c r="F3" s="1" t="str">
        <f t="shared" ref="F3:F6" ca="1" si="1">IF(OR(C3&gt;=130,D3&gt;=5),"YES","NO")</f>
        <v>NO</v>
      </c>
    </row>
    <row r="4" spans="1:6" x14ac:dyDescent="0.3">
      <c r="A4" s="1">
        <v>3</v>
      </c>
      <c r="B4" s="1" t="s">
        <v>6</v>
      </c>
      <c r="C4" s="1">
        <f t="shared" ca="1" si="0"/>
        <v>101</v>
      </c>
      <c r="D4" s="1">
        <v>2</v>
      </c>
      <c r="E4" s="1" t="str">
        <f t="shared" ref="E3:E6" ca="1" si="2">IF(AND(C4&gt;=130,D4&gt;=5),"YES","NO")</f>
        <v>NO</v>
      </c>
      <c r="F4" s="1" t="str">
        <f t="shared" ca="1" si="1"/>
        <v>NO</v>
      </c>
    </row>
    <row r="5" spans="1:6" x14ac:dyDescent="0.3">
      <c r="A5" s="1">
        <v>4</v>
      </c>
      <c r="B5" s="1" t="s">
        <v>7</v>
      </c>
      <c r="C5" s="1">
        <f t="shared" ca="1" si="0"/>
        <v>113</v>
      </c>
      <c r="D5" s="1">
        <v>5</v>
      </c>
      <c r="E5" s="1" t="str">
        <f t="shared" ca="1" si="2"/>
        <v>NO</v>
      </c>
      <c r="F5" s="1" t="str">
        <f t="shared" ca="1" si="1"/>
        <v>YES</v>
      </c>
    </row>
    <row r="6" spans="1:6" x14ac:dyDescent="0.3">
      <c r="A6" s="1">
        <v>5</v>
      </c>
      <c r="B6" s="1" t="s">
        <v>8</v>
      </c>
      <c r="C6" s="1">
        <f t="shared" ca="1" si="0"/>
        <v>119</v>
      </c>
      <c r="D6" s="1">
        <v>6</v>
      </c>
      <c r="E6" s="1" t="str">
        <f t="shared" ca="1" si="2"/>
        <v>NO</v>
      </c>
      <c r="F6" s="1" t="str">
        <f t="shared" ca="1" si="1"/>
        <v>YES</v>
      </c>
    </row>
    <row r="8" spans="1:6" x14ac:dyDescent="0.3">
      <c r="D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AFA8-64AD-4418-BE05-811C238F2C27}">
  <dimension ref="A1:H13"/>
  <sheetViews>
    <sheetView topLeftCell="B1" zoomScale="205" zoomScaleNormal="205" workbookViewId="0">
      <selection activeCell="H1" sqref="H1"/>
    </sheetView>
  </sheetViews>
  <sheetFormatPr defaultRowHeight="14.4" x14ac:dyDescent="0.3"/>
  <cols>
    <col min="1" max="1" width="15" bestFit="1" customWidth="1"/>
    <col min="6" max="6" width="10.109375" bestFit="1" customWidth="1"/>
    <col min="8" max="8" width="13" bestFit="1" customWidth="1"/>
  </cols>
  <sheetData>
    <row r="1" spans="1:8" x14ac:dyDescent="0.3">
      <c r="A1" s="1" t="s">
        <v>12</v>
      </c>
      <c r="B1" s="1" t="s">
        <v>13</v>
      </c>
      <c r="C1" s="1" t="s">
        <v>14</v>
      </c>
      <c r="D1" s="1" t="s">
        <v>15</v>
      </c>
      <c r="E1" s="4" t="s">
        <v>16</v>
      </c>
      <c r="F1" s="1" t="s">
        <v>17</v>
      </c>
      <c r="G1" s="4" t="s">
        <v>22</v>
      </c>
      <c r="H1" s="4" t="s">
        <v>21</v>
      </c>
    </row>
    <row r="2" spans="1:8" x14ac:dyDescent="0.3">
      <c r="A2" s="1" t="s">
        <v>4</v>
      </c>
      <c r="B2" s="3">
        <v>90</v>
      </c>
      <c r="C2" s="3">
        <v>90</v>
      </c>
      <c r="D2" s="3">
        <v>90</v>
      </c>
      <c r="E2" s="1" t="str">
        <f>IF(AND(B2&gt;=35,C2&gt;=35,D2&gt;=35),"PASS","FAIL")</f>
        <v>PASS</v>
      </c>
      <c r="F2" s="5">
        <f>SUM(B2:D2)/300*100</f>
        <v>90</v>
      </c>
      <c r="G2" s="1" t="str">
        <f>IF(F2&gt;=90,"A++",IF(F2&gt;=75,"A+",IF(F2&gt;=60,"A",IF(F2&gt;=45,"B",IF(F2&gt;=35,"C","FAIL")))))</f>
        <v>A++</v>
      </c>
      <c r="H2" s="1" t="str">
        <f>IF(E2="FAIL","FAIL",IF(F2&gt;=90,"A++",IF(F2&gt;=75,"A+",IF(F2&gt;=60,"A",IF(F2&gt;=45,"B",IF(F2&gt;=35,"C","FAIL"))))))</f>
        <v>A++</v>
      </c>
    </row>
    <row r="3" spans="1:8" x14ac:dyDescent="0.3">
      <c r="A3" s="1" t="s">
        <v>5</v>
      </c>
      <c r="B3" s="3">
        <v>36</v>
      </c>
      <c r="C3" s="3">
        <v>42</v>
      </c>
      <c r="D3" s="3">
        <v>20</v>
      </c>
      <c r="E3" s="1" t="str">
        <f t="shared" ref="E3:E6" si="0">IF(AND(B3&gt;=35,C3&gt;=35,D3&gt;=35),"PASS","FAIL")</f>
        <v>FAIL</v>
      </c>
      <c r="F3" s="5">
        <f t="shared" ref="F3:F6" si="1">SUM(B3:D3)/300*100</f>
        <v>32.666666666666664</v>
      </c>
      <c r="G3" s="1" t="str">
        <f t="shared" ref="G3:G6" si="2">IF(F3&gt;=90,"A++",IF(F3&gt;=75,"A+",IF(F3&gt;=60,"A",IF(F3&gt;=45,"B",IF(F3&gt;=35,"C","FAIL")))))</f>
        <v>FAIL</v>
      </c>
      <c r="H3" s="1" t="str">
        <f t="shared" ref="H3:H6" si="3">IF(E3="FAIL","FAIL",G3)</f>
        <v>FAIL</v>
      </c>
    </row>
    <row r="4" spans="1:8" x14ac:dyDescent="0.3">
      <c r="A4" s="1" t="s">
        <v>6</v>
      </c>
      <c r="B4" s="3">
        <v>70</v>
      </c>
      <c r="C4" s="3">
        <v>38</v>
      </c>
      <c r="D4" s="3">
        <v>45</v>
      </c>
      <c r="E4" s="1" t="str">
        <f t="shared" si="0"/>
        <v>PASS</v>
      </c>
      <c r="F4" s="5">
        <f t="shared" si="1"/>
        <v>51</v>
      </c>
      <c r="G4" s="1" t="str">
        <f t="shared" si="2"/>
        <v>B</v>
      </c>
      <c r="H4" s="1" t="str">
        <f t="shared" si="3"/>
        <v>B</v>
      </c>
    </row>
    <row r="5" spans="1:8" x14ac:dyDescent="0.3">
      <c r="A5" s="1" t="s">
        <v>7</v>
      </c>
      <c r="B5" s="3">
        <v>20</v>
      </c>
      <c r="C5" s="3">
        <v>55</v>
      </c>
      <c r="D5" s="3">
        <v>73</v>
      </c>
      <c r="E5" s="1" t="str">
        <f t="shared" si="0"/>
        <v>FAIL</v>
      </c>
      <c r="F5" s="5">
        <f t="shared" si="1"/>
        <v>49.333333333333336</v>
      </c>
      <c r="G5" s="1" t="str">
        <f t="shared" si="2"/>
        <v>B</v>
      </c>
      <c r="H5" s="1" t="str">
        <f t="shared" si="3"/>
        <v>FAIL</v>
      </c>
    </row>
    <row r="6" spans="1:8" x14ac:dyDescent="0.3">
      <c r="A6" s="1" t="s">
        <v>8</v>
      </c>
      <c r="B6" s="3">
        <v>48</v>
      </c>
      <c r="C6" s="3">
        <v>88</v>
      </c>
      <c r="D6" s="3">
        <v>87</v>
      </c>
      <c r="E6" s="1" t="str">
        <f t="shared" si="0"/>
        <v>PASS</v>
      </c>
      <c r="F6" s="5">
        <f t="shared" si="1"/>
        <v>74.333333333333329</v>
      </c>
      <c r="G6" s="1" t="str">
        <f t="shared" si="2"/>
        <v>A</v>
      </c>
      <c r="H6" s="1" t="str">
        <f t="shared" si="3"/>
        <v>A</v>
      </c>
    </row>
    <row r="9" spans="1:8" x14ac:dyDescent="0.3">
      <c r="C9" t="s">
        <v>18</v>
      </c>
      <c r="D9" s="6">
        <v>90</v>
      </c>
      <c r="E9" t="s">
        <v>19</v>
      </c>
    </row>
    <row r="10" spans="1:8" x14ac:dyDescent="0.3">
      <c r="D10" s="6">
        <v>75</v>
      </c>
      <c r="E10" t="s">
        <v>20</v>
      </c>
    </row>
    <row r="11" spans="1:8" x14ac:dyDescent="0.3">
      <c r="D11">
        <v>60</v>
      </c>
      <c r="E11" t="s">
        <v>4</v>
      </c>
    </row>
    <row r="12" spans="1:8" x14ac:dyDescent="0.3">
      <c r="D12">
        <v>45</v>
      </c>
      <c r="E12" t="s">
        <v>5</v>
      </c>
    </row>
    <row r="13" spans="1:8" x14ac:dyDescent="0.3">
      <c r="D13">
        <v>35</v>
      </c>
      <c r="E1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48D3-EAE6-4D33-9113-2A608CA91A68}">
  <dimension ref="A1:D13"/>
  <sheetViews>
    <sheetView tabSelected="1" zoomScale="160" zoomScaleNormal="160" workbookViewId="0">
      <selection activeCell="D2" sqref="D2"/>
    </sheetView>
  </sheetViews>
  <sheetFormatPr defaultRowHeight="14.4" x14ac:dyDescent="0.3"/>
  <cols>
    <col min="3" max="3" width="13.21875" bestFit="1" customWidth="1"/>
  </cols>
  <sheetData>
    <row r="1" spans="1:4" x14ac:dyDescent="0.3">
      <c r="A1" t="s">
        <v>23</v>
      </c>
      <c r="B1" t="s">
        <v>24</v>
      </c>
      <c r="C1" t="s">
        <v>31</v>
      </c>
      <c r="D1" t="s">
        <v>32</v>
      </c>
    </row>
    <row r="2" spans="1:4" x14ac:dyDescent="0.3">
      <c r="A2">
        <v>1</v>
      </c>
      <c r="B2" t="s">
        <v>25</v>
      </c>
      <c r="C2">
        <f ca="1">RANDBETWEEN(1,20)</f>
        <v>3</v>
      </c>
      <c r="D2" s="8" cm="1">
        <f t="array" aca="1" ref="D2" ca="1">_xlfn.IFS(C2&gt;=10,20%,C2&gt;=5,10%,C2&gt;=0,0%)</f>
        <v>0</v>
      </c>
    </row>
    <row r="3" spans="1:4" x14ac:dyDescent="0.3">
      <c r="A3">
        <v>2</v>
      </c>
      <c r="B3" t="s">
        <v>26</v>
      </c>
      <c r="C3">
        <f t="shared" ref="C3:C7" ca="1" si="0">RANDBETWEEN(1,20)</f>
        <v>18</v>
      </c>
      <c r="D3" s="8" cm="1">
        <f t="array" aca="1" ref="D3" ca="1">_xlfn.IFS(C3&gt;=10,20%,C3&gt;=5,10%,C3&gt;=0,0%)</f>
        <v>0.2</v>
      </c>
    </row>
    <row r="4" spans="1:4" x14ac:dyDescent="0.3">
      <c r="A4">
        <v>3</v>
      </c>
      <c r="B4" t="s">
        <v>27</v>
      </c>
      <c r="C4">
        <f t="shared" ca="1" si="0"/>
        <v>4</v>
      </c>
      <c r="D4" s="8" cm="1">
        <f t="array" aca="1" ref="D4" ca="1">_xlfn.IFS(C4&gt;=10,20%,C4&gt;=5,10%,C4&gt;=0,0%)</f>
        <v>0</v>
      </c>
    </row>
    <row r="5" spans="1:4" x14ac:dyDescent="0.3">
      <c r="A5">
        <v>4</v>
      </c>
      <c r="B5" t="s">
        <v>28</v>
      </c>
      <c r="C5">
        <f t="shared" ca="1" si="0"/>
        <v>9</v>
      </c>
      <c r="D5" s="8" cm="1">
        <f t="array" aca="1" ref="D5" ca="1">_xlfn.IFS(C5&gt;=10,20%,C5&gt;=5,10%,C5&gt;=0,0%)</f>
        <v>0.1</v>
      </c>
    </row>
    <row r="6" spans="1:4" x14ac:dyDescent="0.3">
      <c r="A6">
        <v>5</v>
      </c>
      <c r="B6" t="s">
        <v>29</v>
      </c>
      <c r="C6">
        <f t="shared" ca="1" si="0"/>
        <v>10</v>
      </c>
      <c r="D6" s="8" cm="1">
        <f t="array" aca="1" ref="D6" ca="1">_xlfn.IFS(C6&gt;=10,20%,C6&gt;=5,10%,C6&gt;=0,0%)</f>
        <v>0.2</v>
      </c>
    </row>
    <row r="7" spans="1:4" x14ac:dyDescent="0.3">
      <c r="A7">
        <v>6</v>
      </c>
      <c r="B7" t="s">
        <v>30</v>
      </c>
      <c r="C7">
        <f t="shared" ca="1" si="0"/>
        <v>8</v>
      </c>
      <c r="D7" s="8" cm="1">
        <f t="array" aca="1" ref="D7" ca="1">_xlfn.IFS(C7&gt;=10,20%,C7&gt;=5,10%,C7&gt;=0,0%)</f>
        <v>0.1</v>
      </c>
    </row>
    <row r="10" spans="1:4" x14ac:dyDescent="0.3">
      <c r="C10" t="s">
        <v>33</v>
      </c>
    </row>
    <row r="11" spans="1:4" x14ac:dyDescent="0.3">
      <c r="C11" t="s">
        <v>34</v>
      </c>
      <c r="D11" s="7">
        <v>0.2</v>
      </c>
    </row>
    <row r="12" spans="1:4" x14ac:dyDescent="0.3">
      <c r="C12" t="s">
        <v>35</v>
      </c>
      <c r="D12" s="7">
        <v>0.1</v>
      </c>
    </row>
    <row r="13" spans="1:4" x14ac:dyDescent="0.3">
      <c r="C13" t="s">
        <v>36</v>
      </c>
      <c r="D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</vt:lpstr>
      <vt:lpstr>nested IF</vt:lpstr>
      <vt:lpstr>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Bhalekar</dc:creator>
  <cp:lastModifiedBy>Sanika Bhalekar</cp:lastModifiedBy>
  <dcterms:created xsi:type="dcterms:W3CDTF">2026-07-28T06:26:21Z</dcterms:created>
  <dcterms:modified xsi:type="dcterms:W3CDTF">2026-07-28T08:04:37Z</dcterms:modified>
</cp:coreProperties>
</file>